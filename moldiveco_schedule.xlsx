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hedule" sheetId="1" state="visible" r:id="rId3"/>
    <sheet name="No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<sst xmlns="http://schemas.openxmlformats.org/spreadsheetml/2006/main" count="66" uniqueCount="65">
  <si>
    <t xml:space="preserve">Molecular Approaches to Biodiversity and Ecology: course schedule</t>
  </si>
  <si>
    <t xml:space="preserve">Shenzhen MSU-BIT University, autumn 2026 to Jan 2027. Slot counts as confirmed from the official calendar. Schedule after Nov 13 is provisional; Dec 25 to Jan 8 is an optional block. Updated 2026-10-31: descriptive statistics split over Nov 2 and Nov 6; regression moved to Nov 9.</t>
  </si>
  <si>
    <t xml:space="preserve">#</t>
  </si>
  <si>
    <t xml:space="preserve">Date</t>
  </si>
  <si>
    <t xml:space="preserve">Weekday</t>
  </si>
  <si>
    <t xml:space="preserve">Slots</t>
  </si>
  <si>
    <t xml:space="preserve">Content</t>
  </si>
  <si>
    <t xml:space="preserve">Deck file</t>
  </si>
  <si>
    <t xml:space="preserve">Status</t>
  </si>
  <si>
    <t xml:space="preserve">R intro + environment setup</t>
  </si>
  <si>
    <t xml:space="preserve">01_intro_to_r.qmd</t>
  </si>
  <si>
    <t xml:space="preserve">Deck done (~107 slides), quiz + optional tasks done; final fixes in progress</t>
  </si>
  <si>
    <t xml:space="preserve">ggplot2 basics + descriptive statistics I: median, quantiles/quartiles, five-number summary, boxplots (tidyverse and %&gt;% introduced here)</t>
  </si>
  <si>
    <t xml:space="preserve">02_intro_ggplot.qmd</t>
  </si>
  <si>
    <t xml:space="preserve">Next (~45 slides)</t>
  </si>
  <si>
    <t xml:space="preserve">Descriptive statistics II (normal distribution, mean and SD, z-scores, Q-Q plots) + hypothesis testing</t>
  </si>
  <si>
    <t xml:space="preserve">Linear models: simple linear regression + ANOVA (linear model with a continuous vs. a categorical predictor)</t>
  </si>
  <si>
    <t xml:space="preserve">Tight for 1 slot; if it doesn't fit, shift later sessions by one</t>
  </si>
  <si>
    <t xml:space="preserve">Intro to GLM + the idea of count data (model behind DESeq2/edgeR)</t>
  </si>
  <si>
    <t xml:space="preserve">Intro to multivariate data</t>
  </si>
  <si>
    <t xml:space="preserve">nMDS</t>
  </si>
  <si>
    <t xml:space="preserve">PCA</t>
  </si>
  <si>
    <t xml:space="preserve">Clustering &amp; classification + phylogenetics intro (tree visualization)</t>
  </si>
  <si>
    <t xml:space="preserve">Differential expression workflow (DESeq2/edgeR)</t>
  </si>
  <si>
    <t xml:space="preserve">Multiple testing, enrichment, volcano plots / heatmaps</t>
  </si>
  <si>
    <t xml:space="preserve">PERMANOVA &amp; distance-based ordination</t>
  </si>
  <si>
    <t xml:space="preserve">Optional block; Plan A</t>
  </si>
  <si>
    <t xml:space="preserve">Genomics overview, part 1: sequencing data, QC, trimming</t>
  </si>
  <si>
    <t xml:space="preserve">Genomics overview, part 2: assembly -&gt; annotation (mitogenome), OR final test</t>
  </si>
  <si>
    <t xml:space="preserve">Optional block; Plan A; not decided between the two</t>
  </si>
  <si>
    <t xml:space="preserve">Total slots</t>
  </si>
  <si>
    <t xml:space="preserve">Core, required (Oct 30 to Dec 18)</t>
  </si>
  <si>
    <t xml:space="preserve">Grey rows: optional block (Dec 25 to Jan 8), depends on when I leave for the winter break. Weekday is computed from the date.</t>
  </si>
  <si>
    <t xml:space="preserve">Optional block: depends on the winter-break travel date</t>
  </si>
  <si>
    <t xml:space="preserve">Plan A (leave after Jan 8, current default)</t>
  </si>
  <si>
    <t xml:space="preserve">Dec 25: PERMANOVA. Jan 4: Genomics overview, part 1. Jan 8: Genomics overview, part 2, or the final test.</t>
  </si>
  <si>
    <t xml:space="preserve">Plan B (leave before Jan 4)</t>
  </si>
  <si>
    <t xml:space="preserve">Dec 25: one combined Genomics overview (QC -&gt; trimming -&gt; assembly -&gt; annotation). Jan 4 and Jan 8 not taught. PERMANOVA dropped this term.</t>
  </si>
  <si>
    <t xml:space="preserve">Course notes</t>
  </si>
  <si>
    <t xml:space="preserve">Course roadmap (as shown to students in deck 01, no dates)</t>
  </si>
  <si>
    <t xml:space="preserve">1. R and data visualization</t>
  </si>
  <si>
    <t xml:space="preserve">2. Statistical foundations: descriptive stats, hypothesis testing, LM, ANOVA, GLM</t>
  </si>
  <si>
    <t xml:space="preserve">3. Multivariate: PCA, nMDS, clustering, PERMANOVA if time allows</t>
  </si>
  <si>
    <t xml:space="preserve">4. Molecular applications: DE in RNA-seq, enrichment</t>
  </si>
  <si>
    <t xml:space="preserve">5. If time allows: genome assembly</t>
  </si>
  <si>
    <t xml:space="preserve">Optional block (Dec 25 to Jan 8)</t>
  </si>
  <si>
    <t xml:space="preserve">Content of these three dates depends on when I leave for the winter break; student-facing content to be finalized later.</t>
  </si>
  <si>
    <t xml:space="preserve">Plan A (current default): Dec 25 PERMANOVA; Jan 4 Genomics overview part 1; Jan 8 Genomics overview part 2 or final test.</t>
  </si>
  <si>
    <t xml:space="preserve">Plan B (leave before Jan 4): Dec 25 one combined Genomics overview; Jan 4 and Jan 8 not taught; PERMANOVA dropped.</t>
  </si>
  <si>
    <t xml:space="preserve">Sequencing principles</t>
  </si>
  <si>
    <t xml:space="preserve">ggplot2 always before any statistics.</t>
  </si>
  <si>
    <t xml:space="preserve">Regression and ANOVA before GLM; ANOVA taught as a linear model.</t>
  </si>
  <si>
    <t xml:space="preserve">Core topics may be stretched over more sessions; schedule after Nov 13 is provisional.</t>
  </si>
  <si>
    <t xml:space="preserve">Per-session deliverables</t>
  </si>
  <si>
    <t xml:space="preserve">Slides NN_topic.qmd (Quarto Beamer); ending slides: What we have learned + Key R functions.</t>
  </si>
  <si>
    <t xml:space="preserve">Scripts from the deck via R/make_scripts.R: NN_topic.R (student, ___ blanks) and NN_topic_answers.R.</t>
  </si>
  <si>
    <t xml:space="preserve">Homework: Moodle quiz (~8 auto-graded questions) + 1-2 optional tasks (Task 1*, Task 2*, bonus points).</t>
  </si>
  <si>
    <t xml:space="preserve">Homework uses only material from the lectures so far.</t>
  </si>
  <si>
    <t xml:space="preserve">Glossary per session (English term, simple definition; Chinese term from Nov 2, checked on termonline.cn).</t>
  </si>
  <si>
    <t xml:space="preserve">Open items</t>
  </si>
  <si>
    <t xml:space="preserve">Nov 9 (regression + ANOVA in 1 slot) is tight: if it doesn't fit, shift later sessions by one.</t>
  </si>
  <si>
    <t xml:space="preserve">Plan A or Plan B for the optional block (travel date); Jan 8: Genomics part 2 or final test.</t>
  </si>
  <si>
    <t xml:space="preserve">Whether more dates exist beyond Jan 8.</t>
  </si>
  <si>
    <t xml:space="preserve">Deck 01 is long (~107 slides for 2 slots): consider marking optional slides.</t>
  </si>
  <si>
    <t xml:space="preserve">Datasets to check for molecular relevance: diatome_count.csv, aml.csv.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</si>
</sst>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80808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6D2B5E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6D2B5E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6D2B5E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2"/>
    <col collapsed="false" customWidth="true" hidden="false" outlineLevel="0" max="3" min="3" style="1" width="9"/>
    <col collapsed="false" customWidth="true" hidden="false" outlineLevel="0" max="4" min="4" style="1" width="7"/>
    <col collapsed="false" customWidth="true" hidden="false" outlineLevel="0" max="5" min="5" style="1" width="58"/>
    <col collapsed="false" customWidth="true" hidden="false" outlineLevel="0" max="6" min="6" style="1" width="22"/>
    <col collapsed="false" customWidth="true" hidden="false" outlineLevel="0" max="7" min="7" style="1" width="44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26.2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customFormat="false" ht="23.25" hidden="false" customHeight="true" outlineLevel="0" collapsed="false">
      <c r="A5" s="5" t="n">
        <v>1</v>
      </c>
      <c r="B5" s="6" t="n">
        <v>46325</v>
      </c>
      <c r="C5" s="5" t="str">
        <f aca="false">TEXT(B5,"ddd")</f>
        <v>Fri</v>
      </c>
      <c r="D5" s="5" t="n">
        <v>2</v>
      </c>
      <c r="E5" s="5" t="s">
        <v>9</v>
      </c>
      <c r="F5" s="5" t="s">
        <v>10</v>
      </c>
      <c r="G5" s="5" t="s">
        <v>11</v>
      </c>
    </row>
    <row r="6" customFormat="false" ht="23.25" hidden="false" customHeight="true" outlineLevel="0" collapsed="false">
      <c r="A6" s="5" t="n">
        <v>2</v>
      </c>
      <c r="B6" s="6" t="n">
        <v>46328</v>
      </c>
      <c r="C6" s="5" t="str">
        <f aca="false">TEXT(B6,"ddd")</f>
        <v>Mon</v>
      </c>
      <c r="D6" s="5" t="n">
        <v>1</v>
      </c>
      <c r="E6" s="5" t="s">
        <v>12</v>
      </c>
      <c r="F6" s="5" t="s">
        <v>13</v>
      </c>
      <c r="G6" s="5" t="s">
        <v>14</v>
      </c>
    </row>
    <row r="7" customFormat="false" ht="15" hidden="false" customHeight="true" outlineLevel="0" collapsed="false">
      <c r="A7" s="5" t="n">
        <v>3</v>
      </c>
      <c r="B7" s="6" t="n">
        <v>46332</v>
      </c>
      <c r="C7" s="5" t="str">
        <f aca="false">TEXT(B7,"ddd")</f>
        <v>Fri</v>
      </c>
      <c r="D7" s="5" t="n">
        <v>2</v>
      </c>
      <c r="E7" s="5" t="s">
        <v>15</v>
      </c>
      <c r="F7" s="5"/>
      <c r="G7" s="5"/>
    </row>
    <row r="8" customFormat="false" ht="15" hidden="false" customHeight="true" outlineLevel="0" collapsed="false">
      <c r="A8" s="5" t="n">
        <v>4</v>
      </c>
      <c r="B8" s="6" t="n">
        <v>46335</v>
      </c>
      <c r="C8" s="5" t="str">
        <f aca="false">TEXT(B8,"ddd")</f>
        <v>Mon</v>
      </c>
      <c r="D8" s="5" t="n">
        <v>1</v>
      </c>
      <c r="E8" s="5" t="s">
        <v>16</v>
      </c>
      <c r="F8" s="5"/>
      <c r="G8" s="5" t="s">
        <v>17</v>
      </c>
    </row>
    <row r="9" customFormat="false" ht="15" hidden="false" customHeight="true" outlineLevel="0" collapsed="false">
      <c r="A9" s="5" t="n">
        <v>5</v>
      </c>
      <c r="B9" s="6" t="n">
        <v>46339</v>
      </c>
      <c r="C9" s="5" t="str">
        <f aca="false">TEXT(B9,"ddd")</f>
        <v>Fri</v>
      </c>
      <c r="D9" s="5" t="n">
        <v>2</v>
      </c>
      <c r="E9" s="5" t="s">
        <v>18</v>
      </c>
      <c r="F9" s="5"/>
      <c r="G9" s="5"/>
    </row>
    <row r="10" customFormat="false" ht="15" hidden="false" customHeight="true" outlineLevel="0" collapsed="false">
      <c r="A10" s="5" t="n">
        <v>6</v>
      </c>
      <c r="B10" s="6" t="n">
        <v>46342</v>
      </c>
      <c r="C10" s="5" t="str">
        <f aca="false">TEXT(B10,"ddd")</f>
        <v>Mon</v>
      </c>
      <c r="D10" s="5" t="n">
        <v>1</v>
      </c>
      <c r="E10" s="5" t="s">
        <v>19</v>
      </c>
      <c r="F10" s="5"/>
      <c r="G10" s="5"/>
    </row>
    <row r="11" customFormat="false" ht="15" hidden="false" customHeight="true" outlineLevel="0" collapsed="false">
      <c r="A11" s="5" t="n">
        <v>7</v>
      </c>
      <c r="B11" s="6" t="n">
        <v>46346</v>
      </c>
      <c r="C11" s="5" t="str">
        <f aca="false">TEXT(B11,"ddd")</f>
        <v>Fri</v>
      </c>
      <c r="D11" s="5" t="n">
        <v>2</v>
      </c>
      <c r="E11" s="5" t="s">
        <v>20</v>
      </c>
      <c r="F11" s="5"/>
      <c r="G11" s="5"/>
    </row>
    <row r="12" customFormat="false" ht="15" hidden="false" customHeight="true" outlineLevel="0" collapsed="false">
      <c r="A12" s="5" t="n">
        <v>8</v>
      </c>
      <c r="B12" s="6" t="n">
        <v>46353</v>
      </c>
      <c r="C12" s="5" t="str">
        <f aca="false">TEXT(B12,"ddd")</f>
        <v>Fri</v>
      </c>
      <c r="D12" s="5" t="n">
        <v>2</v>
      </c>
      <c r="E12" s="5" t="s">
        <v>21</v>
      </c>
      <c r="F12" s="5"/>
      <c r="G12" s="5"/>
    </row>
    <row r="13" customFormat="false" ht="15" hidden="false" customHeight="true" outlineLevel="0" collapsed="false">
      <c r="A13" s="5" t="n">
        <v>9</v>
      </c>
      <c r="B13" s="6" t="n">
        <v>46360</v>
      </c>
      <c r="C13" s="5" t="str">
        <f aca="false">TEXT(B13,"ddd")</f>
        <v>Fri</v>
      </c>
      <c r="D13" s="5" t="n">
        <v>2</v>
      </c>
      <c r="E13" s="5" t="s">
        <v>22</v>
      </c>
      <c r="F13" s="5"/>
      <c r="G13" s="5"/>
    </row>
    <row r="14" customFormat="false" ht="15" hidden="false" customHeight="true" outlineLevel="0" collapsed="false">
      <c r="A14" s="5" t="n">
        <v>10</v>
      </c>
      <c r="B14" s="6" t="n">
        <v>46367</v>
      </c>
      <c r="C14" s="5" t="str">
        <f aca="false">TEXT(B14,"ddd")</f>
        <v>Fri</v>
      </c>
      <c r="D14" s="5" t="n">
        <v>2</v>
      </c>
      <c r="E14" s="5" t="s">
        <v>23</v>
      </c>
      <c r="F14" s="5"/>
      <c r="G14" s="5"/>
    </row>
    <row r="15" customFormat="false" ht="15" hidden="false" customHeight="true" outlineLevel="0" collapsed="false">
      <c r="A15" s="5" t="n">
        <v>11</v>
      </c>
      <c r="B15" s="6" t="n">
        <v>46374</v>
      </c>
      <c r="C15" s="5" t="str">
        <f aca="false">TEXT(B15,"ddd")</f>
        <v>Fri</v>
      </c>
      <c r="D15" s="5" t="n">
        <v>2</v>
      </c>
      <c r="E15" s="5" t="s">
        <v>24</v>
      </c>
      <c r="F15" s="5"/>
      <c r="G15" s="5"/>
    </row>
    <row r="16" customFormat="false" ht="15" hidden="false" customHeight="true" outlineLevel="0" collapsed="false">
      <c r="A16" s="7" t="n">
        <v>12</v>
      </c>
      <c r="B16" s="8" t="n">
        <v>46381</v>
      </c>
      <c r="C16" s="7" t="str">
        <f aca="false">TEXT(B16,"ddd")</f>
        <v>Fri</v>
      </c>
      <c r="D16" s="7" t="n">
        <v>2</v>
      </c>
      <c r="E16" s="7" t="s">
        <v>25</v>
      </c>
      <c r="F16" s="7"/>
      <c r="G16" s="7" t="s">
        <v>26</v>
      </c>
    </row>
    <row r="17" customFormat="false" ht="15" hidden="false" customHeight="true" outlineLevel="0" collapsed="false">
      <c r="A17" s="7" t="n">
        <v>13</v>
      </c>
      <c r="B17" s="8" t="n">
        <v>46391</v>
      </c>
      <c r="C17" s="7" t="str">
        <f aca="false">TEXT(B17,"ddd")</f>
        <v>Mon</v>
      </c>
      <c r="D17" s="7" t="n">
        <v>1</v>
      </c>
      <c r="E17" s="7" t="s">
        <v>27</v>
      </c>
      <c r="F17" s="7"/>
      <c r="G17" s="7" t="s">
        <v>26</v>
      </c>
    </row>
    <row r="18" customFormat="false" ht="23.25" hidden="false" customHeight="true" outlineLevel="0" collapsed="false">
      <c r="A18" s="7" t="n">
        <v>14</v>
      </c>
      <c r="B18" s="8" t="n">
        <v>46395</v>
      </c>
      <c r="C18" s="7" t="str">
        <f aca="false">TEXT(B18,"ddd")</f>
        <v>Fri</v>
      </c>
      <c r="D18" s="7" t="n">
        <v>2</v>
      </c>
      <c r="E18" s="7" t="s">
        <v>28</v>
      </c>
      <c r="F18" s="7"/>
      <c r="G18" s="7" t="s">
        <v>29</v>
      </c>
    </row>
    <row r="19" customFormat="false" ht="15" hidden="false" customHeight="true" outlineLevel="0" collapsed="false">
      <c r="C19" s="9" t="s">
        <v>30</v>
      </c>
      <c r="D19" s="9" t="n">
        <f aca="false">SUM(D5:D18)</f>
        <v>24</v>
      </c>
    </row>
    <row r="20" customFormat="false" ht="15" hidden="false" customHeight="true" outlineLevel="0" collapsed="false">
      <c r="C20" s="10" t="s">
        <v>31</v>
      </c>
      <c r="D20" s="10" t="n">
        <f aca="false">SUMIFS(D5:D18,B5:B18,"&lt;="&amp;DATE(2026,12,18))</f>
        <v>19</v>
      </c>
    </row>
    <row r="21" customFormat="false" ht="15" hidden="false" customHeight="true" outlineLevel="0" collapsed="false">
      <c r="A21" s="3" t="s">
        <v>32</v>
      </c>
    </row>
    <row r="23" customFormat="false" ht="15" hidden="false" customHeight="true" outlineLevel="0" collapsed="false">
      <c r="A23" s="11" t="s">
        <v>33</v>
      </c>
    </row>
    <row r="24" customFormat="false" ht="30" hidden="false" customHeight="true" outlineLevel="0" collapsed="false">
      <c r="B24" s="12" t="s">
        <v>34</v>
      </c>
      <c r="C24" s="12"/>
      <c r="D24" s="12"/>
      <c r="E24" s="13" t="s">
        <v>35</v>
      </c>
      <c r="F24" s="13"/>
      <c r="G24" s="13"/>
    </row>
    <row r="25" customFormat="false" ht="30" hidden="false" customHeight="true" outlineLevel="0" collapsed="false">
      <c r="B25" s="12" t="s">
        <v>36</v>
      </c>
      <c r="C25" s="12"/>
      <c r="D25" s="12"/>
      <c r="E25" s="13" t="s">
        <v>37</v>
      </c>
      <c r="F25" s="13"/>
      <c r="G25" s="13"/>
    </row>
  </sheetData>
  <mergeCells count="4">
    <mergeCell ref="B24:D24"/>
    <mergeCell ref="E24:G24"/>
    <mergeCell ref="B25:D25"/>
    <mergeCell ref="E25:G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0"/>
  </cols>
  <sheetData>
    <row r="1" customFormat="false" ht="15.75" hidden="false" customHeight="true" outlineLevel="0" collapsed="false">
      <c r="A1" s="2" t="s">
        <v>38</v>
      </c>
    </row>
    <row r="3" customFormat="false" ht="15" hidden="false" customHeight="true" outlineLevel="0" collapsed="false">
      <c r="A3" s="11" t="s">
        <v>39</v>
      </c>
    </row>
    <row r="4" customFormat="false" ht="15" hidden="false" customHeight="true" outlineLevel="0" collapsed="false">
      <c r="A4" s="14" t="s">
        <v>40</v>
      </c>
    </row>
    <row r="5" customFormat="false" ht="15" hidden="false" customHeight="true" outlineLevel="0" collapsed="false">
      <c r="A5" s="14" t="s">
        <v>41</v>
      </c>
    </row>
    <row r="6" customFormat="false" ht="15" hidden="false" customHeight="true" outlineLevel="0" collapsed="false">
      <c r="A6" s="14" t="s">
        <v>42</v>
      </c>
    </row>
    <row r="7" customFormat="false" ht="15" hidden="false" customHeight="true" outlineLevel="0" collapsed="false">
      <c r="A7" s="14" t="s">
        <v>43</v>
      </c>
    </row>
    <row r="8" customFormat="false" ht="15" hidden="false" customHeight="true" outlineLevel="0" collapsed="false">
      <c r="A8" s="14" t="s">
        <v>44</v>
      </c>
    </row>
    <row r="10" customFormat="false" ht="15" hidden="false" customHeight="true" outlineLevel="0" collapsed="false">
      <c r="A10" s="11" t="s">
        <v>45</v>
      </c>
    </row>
    <row r="11" customFormat="false" ht="15" hidden="false" customHeight="true" outlineLevel="0" collapsed="false">
      <c r="A11" s="14" t="s">
        <v>46</v>
      </c>
    </row>
    <row r="12" customFormat="false" ht="15" hidden="false" customHeight="true" outlineLevel="0" collapsed="false">
      <c r="A12" s="14" t="s">
        <v>47</v>
      </c>
    </row>
    <row r="13" customFormat="false" ht="15" hidden="false" customHeight="true" outlineLevel="0" collapsed="false">
      <c r="A13" s="14" t="s">
        <v>48</v>
      </c>
    </row>
    <row r="15" customFormat="false" ht="15" hidden="false" customHeight="true" outlineLevel="0" collapsed="false">
      <c r="A15" s="11" t="s">
        <v>49</v>
      </c>
    </row>
    <row r="16" customFormat="false" ht="15" hidden="false" customHeight="true" outlineLevel="0" collapsed="false">
      <c r="A16" s="14" t="s">
        <v>50</v>
      </c>
    </row>
    <row r="17" customFormat="false" ht="15" hidden="false" customHeight="true" outlineLevel="0" collapsed="false">
      <c r="A17" s="14" t="s">
        <v>51</v>
      </c>
    </row>
    <row r="18" customFormat="false" ht="15" hidden="false" customHeight="true" outlineLevel="0" collapsed="false">
      <c r="A18" s="14" t="s">
        <v>52</v>
      </c>
    </row>
    <row r="20" customFormat="false" ht="15" hidden="false" customHeight="true" outlineLevel="0" collapsed="false">
      <c r="A20" s="11" t="s">
        <v>53</v>
      </c>
    </row>
    <row r="21" customFormat="false" ht="15" hidden="false" customHeight="true" outlineLevel="0" collapsed="false">
      <c r="A21" s="14" t="s">
        <v>54</v>
      </c>
    </row>
    <row r="22" customFormat="false" ht="15" hidden="false" customHeight="true" outlineLevel="0" collapsed="false">
      <c r="A22" s="14" t="s">
        <v>55</v>
      </c>
    </row>
    <row r="23" customFormat="false" ht="15" hidden="false" customHeight="true" outlineLevel="0" collapsed="false">
      <c r="A23" s="14" t="s">
        <v>56</v>
      </c>
    </row>
    <row r="24" customFormat="false" ht="15" hidden="false" customHeight="true" outlineLevel="0" collapsed="false">
      <c r="A24" s="14" t="s">
        <v>57</v>
      </c>
    </row>
    <row r="25" customFormat="false" ht="15" hidden="false" customHeight="true" outlineLevel="0" collapsed="false">
      <c r="A25" s="14" t="s">
        <v>58</v>
      </c>
    </row>
    <row r="27" customFormat="false" ht="15" hidden="false" customHeight="true" outlineLevel="0" collapsed="false">
      <c r="A27" s="11" t="s">
        <v>59</v>
      </c>
    </row>
    <row r="28" customFormat="false" ht="15" hidden="false" customHeight="true" outlineLevel="0" collapsed="false">
      <c r="A28" s="14" t="s">
        <v>60</v>
      </c>
    </row>
    <row r="29" customFormat="false" ht="15" hidden="false" customHeight="true" outlineLevel="0" collapsed="false">
      <c r="A29" s="14" t="s">
        <v>61</v>
      </c>
    </row>
    <row r="30" customFormat="false" ht="15" hidden="false" customHeight="true" outlineLevel="0" collapsed="false">
      <c r="A30" s="14" t="s">
        <v>62</v>
      </c>
    </row>
    <row r="31" customFormat="false" ht="15" hidden="false" customHeight="true" outlineLevel="0" collapsed="false">
      <c r="A31" s="14" t="s">
        <v>63</v>
      </c>
    </row>
    <row r="32" customFormat="false" ht="15" hidden="false" customHeight="false" outlineLevel="0" collapsed="false">
      <c r="A32" s="14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2026-10-31T03:56:14Z</dcterms:created>
  <dc:creator>openpyxl</dc:creator>
  <dc:description/>
  <dc:language>en-US</dc:language>
  <cp:lastModifiedBy/>
  <dcterms:modified xsi:type="dcterms:W3CDTF">2026-10-31T04:09:52Z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